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екомпозиція" sheetId="1" state="visible" r:id="rId3"/>
    <sheet name="Типи і ролі" sheetId="2" state="visible" r:id="rId4"/>
  </sheets>
  <definedNames>
    <definedName function="false" hidden="true" localSheetId="0" name="_xlnm._FilterDatabase" vbProcedure="false">Декомпозиція!$A$1:$H$32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<sst xmlns="http://schemas.openxmlformats.org/spreadsheetml/2006/main" count="264" uniqueCount="137">
  <si>
    <t xml:space="preserve">Етап</t>
  </si>
  <si>
    <t xml:space="preserve">ID</t>
  </si>
  <si>
    <t xml:space="preserve">Тип</t>
  </si>
  <si>
    <t xml:space="preserve">Назва тікета</t>
  </si>
  <si>
    <t xml:space="preserve">Вимоги SRS</t>
  </si>
  <si>
    <t xml:space="preserve">Виконавець</t>
  </si>
  <si>
    <t xml:space="preserve">Блокується</t>
  </si>
  <si>
    <t xml:space="preserve">Оцінка, дн</t>
  </si>
  <si>
    <t xml:space="preserve">Етап 0 — підготовка</t>
  </si>
  <si>
    <t xml:space="preserve">S-01</t>
  </si>
  <si>
    <t xml:space="preserve">Specification</t>
  </si>
  <si>
    <t xml:space="preserve">Базова SRS v1.0 затверджена (ЛР2)</t>
  </si>
  <si>
    <t xml:space="preserve">усі</t>
  </si>
  <si>
    <t xml:space="preserve">Агент готує, людина затверджує</t>
  </si>
  <si>
    <t xml:space="preserve">—</t>
  </si>
  <si>
    <t xml:space="preserve">G-01</t>
  </si>
  <si>
    <t xml:space="preserve">Gate</t>
  </si>
  <si>
    <t xml:space="preserve">PLAN-GATE: дозвіл на реалізацію</t>
  </si>
  <si>
    <t xml:space="preserve">Людина</t>
  </si>
  <si>
    <t xml:space="preserve">T-01</t>
  </si>
  <si>
    <t xml:space="preserve">Feature</t>
  </si>
  <si>
    <t xml:space="preserve">Каркас проєкту: FastAPI, SQLite, структура /src і /tests</t>
  </si>
  <si>
    <t xml:space="preserve">REQ-NF-013, REQ-NF-015</t>
  </si>
  <si>
    <t xml:space="preserve">Агент</t>
  </si>
  <si>
    <t xml:space="preserve">T-02</t>
  </si>
  <si>
    <t xml:space="preserve">Запуск тестів однією командою і журнал прогону в /logs</t>
  </si>
  <si>
    <t xml:space="preserve">REQ-NF-003, REQ-NF-005</t>
  </si>
  <si>
    <t xml:space="preserve">Етап 1 — ядро даних</t>
  </si>
  <si>
    <t xml:space="preserve">T-03</t>
  </si>
  <si>
    <t xml:space="preserve">Test</t>
  </si>
  <si>
    <t xml:space="preserve">Тести моделі профілю</t>
  </si>
  <si>
    <t xml:space="preserve">REQ-F-001..004</t>
  </si>
  <si>
    <t xml:space="preserve">T-04</t>
  </si>
  <si>
    <t xml:space="preserve">Профілі: створення, вибір, ізоляція даних</t>
  </si>
  <si>
    <t xml:space="preserve">T-05</t>
  </si>
  <si>
    <t xml:space="preserve">Тести категорій</t>
  </si>
  <si>
    <t xml:space="preserve">REQ-F-020..025</t>
  </si>
  <si>
    <t xml:space="preserve">T-06</t>
  </si>
  <si>
    <t xml:space="preserve">Категорії: базові, власні, правила видалення</t>
  </si>
  <si>
    <t xml:space="preserve">T-05, T-04</t>
  </si>
  <si>
    <t xml:space="preserve">T-07</t>
  </si>
  <si>
    <t xml:space="preserve">Тести покупок</t>
  </si>
  <si>
    <t xml:space="preserve">REQ-F-005..012</t>
  </si>
  <si>
    <t xml:space="preserve">T-08</t>
  </si>
  <si>
    <t xml:space="preserve">Покупки: CRUD і обчислення вартості</t>
  </si>
  <si>
    <t xml:space="preserve">T-07, T-06</t>
  </si>
  <si>
    <t xml:space="preserve">T-09</t>
  </si>
  <si>
    <t xml:space="preserve">Тести перевірки даних</t>
  </si>
  <si>
    <t xml:space="preserve">REQ-F-013..019</t>
  </si>
  <si>
    <t xml:space="preserve">T-10</t>
  </si>
  <si>
    <t xml:space="preserve">Перевірка даних при додаванні та редагуванні</t>
  </si>
  <si>
    <t xml:space="preserve">T-09, T-08</t>
  </si>
  <si>
    <t xml:space="preserve">T-11</t>
  </si>
  <si>
    <t xml:space="preserve">Verification</t>
  </si>
  <si>
    <t xml:space="preserve">Перевірка ізоляції даних між профілями</t>
  </si>
  <si>
    <t xml:space="preserve">REQ-F-003</t>
  </si>
  <si>
    <t xml:space="preserve">Людина + агент</t>
  </si>
  <si>
    <t xml:space="preserve">G-02</t>
  </si>
  <si>
    <t xml:space="preserve">DATA-GATE: ядро даних готове</t>
  </si>
  <si>
    <t xml:space="preserve">REQ-F-001..025</t>
  </si>
  <si>
    <t xml:space="preserve">T-10, T-11</t>
  </si>
  <si>
    <t xml:space="preserve">Етап 2 — підсумки й аналітика</t>
  </si>
  <si>
    <t xml:space="preserve">T-12</t>
  </si>
  <si>
    <t xml:space="preserve">Тести підсумків за періодами</t>
  </si>
  <si>
    <t xml:space="preserve">REQ-F-026..029, REQ-F-033</t>
  </si>
  <si>
    <t xml:space="preserve">T-13</t>
  </si>
  <si>
    <t xml:space="preserve">Підсумки за день, тиждень, місяць і діапазон</t>
  </si>
  <si>
    <t xml:space="preserve">T-14</t>
  </si>
  <si>
    <t xml:space="preserve">Тести розбивки за категоріями</t>
  </si>
  <si>
    <t xml:space="preserve">REQ-F-030</t>
  </si>
  <si>
    <t xml:space="preserve">T-15</t>
  </si>
  <si>
    <t xml:space="preserve">Розбивка витрат за категоріями</t>
  </si>
  <si>
    <t xml:space="preserve">T-14, T-13</t>
  </si>
  <si>
    <t xml:space="preserve">T-16</t>
  </si>
  <si>
    <t xml:space="preserve">Графіки по днях місяця і по місяцях року (Chart.js)</t>
  </si>
  <si>
    <t xml:space="preserve">REQ-F-031, REQ-F-032, REQ-NF-014</t>
  </si>
  <si>
    <t xml:space="preserve">T-17</t>
  </si>
  <si>
    <t xml:space="preserve">Перевірка швидкодії підсумків</t>
  </si>
  <si>
    <t xml:space="preserve">REQ-NF-009</t>
  </si>
  <si>
    <t xml:space="preserve">T-18</t>
  </si>
  <si>
    <t xml:space="preserve">Перевірка точності грошових обчислень</t>
  </si>
  <si>
    <t xml:space="preserve">REQ-F-006, REQ-NF-010</t>
  </si>
  <si>
    <t xml:space="preserve">G-03</t>
  </si>
  <si>
    <t xml:space="preserve">ANALYTICS-GATE: підсумки й аналітика готові</t>
  </si>
  <si>
    <t xml:space="preserve">REQ-F-026..033</t>
  </si>
  <si>
    <t xml:space="preserve">T-15, T-16, T-17, T-18</t>
  </si>
  <si>
    <t xml:space="preserve">Етап 3 — інтерфейс і завершення</t>
  </si>
  <si>
    <t xml:space="preserve">T-19</t>
  </si>
  <si>
    <t xml:space="preserve">Тести експорту CSV</t>
  </si>
  <si>
    <t xml:space="preserve">REQ-F-035, REQ-I-003</t>
  </si>
  <si>
    <t xml:space="preserve">T-20</t>
  </si>
  <si>
    <t xml:space="preserve">Експорт у CSV і резервна копія бази</t>
  </si>
  <si>
    <t xml:space="preserve">REQ-F-035, REQ-F-036</t>
  </si>
  <si>
    <t xml:space="preserve">T-21</t>
  </si>
  <si>
    <t xml:space="preserve">Вебінтерфейс: форма, список, період, таблиця, графік</t>
  </si>
  <si>
    <t xml:space="preserve">REQ-I-001, REQ-I-002, REQ-I-004</t>
  </si>
  <si>
    <t xml:space="preserve">T-22</t>
  </si>
  <si>
    <t xml:space="preserve">Тексти інтерфейсу українською та англійською</t>
  </si>
  <si>
    <t xml:space="preserve">REQ-NF-012</t>
  </si>
  <si>
    <t xml:space="preserve">T-23</t>
  </si>
  <si>
    <t xml:space="preserve">Перевірка збереження даних між запусками</t>
  </si>
  <si>
    <t xml:space="preserve">REQ-F-034, REQ-NF-011</t>
  </si>
  <si>
    <t xml:space="preserve">T-20, T-21</t>
  </si>
  <si>
    <t xml:space="preserve">T-24</t>
  </si>
  <si>
    <t xml:space="preserve">Validation</t>
  </si>
  <si>
    <t xml:space="preserve">Прогін BDD-сценаріїв на реальних даних</t>
  </si>
  <si>
    <t xml:space="preserve">усі сценарії</t>
  </si>
  <si>
    <t xml:space="preserve">T-22, T-23</t>
  </si>
  <si>
    <t xml:space="preserve">T-25</t>
  </si>
  <si>
    <t xml:space="preserve">Documentation</t>
  </si>
  <si>
    <t xml:space="preserve">Оновити README і матрицю простежуваності</t>
  </si>
  <si>
    <t xml:space="preserve">REQ-NF-015</t>
  </si>
  <si>
    <t xml:space="preserve">Агент + людина</t>
  </si>
  <si>
    <t xml:space="preserve">A-01</t>
  </si>
  <si>
    <t xml:space="preserve">Addendum</t>
  </si>
  <si>
    <t xml:space="preserve">ВП-01: рішення щодо видалення профілю разом з даними</t>
  </si>
  <si>
    <t xml:space="preserve">нова вимога</t>
  </si>
  <si>
    <t xml:space="preserve">G-04</t>
  </si>
  <si>
    <t xml:space="preserve">RELEASE-GATE: готовність версії</t>
  </si>
  <si>
    <t xml:space="preserve">Разом, днів</t>
  </si>
  <si>
    <t xml:space="preserve">З них робота агента</t>
  </si>
  <si>
    <t xml:space="preserve">З них рішення та перевірки людини</t>
  </si>
  <si>
    <t xml:space="preserve">Тип тікета</t>
  </si>
  <si>
    <t xml:space="preserve">Призначення</t>
  </si>
  <si>
    <t xml:space="preserve">Хто виконує</t>
  </si>
  <si>
    <t xml:space="preserve">Хто приймає</t>
  </si>
  <si>
    <t xml:space="preserve">Базова специфікація та її версії</t>
  </si>
  <si>
    <t xml:space="preserve">Агент готує чернетку</t>
  </si>
  <si>
    <t xml:space="preserve">Доповнення до затвердженої SRS</t>
  </si>
  <si>
    <t xml:space="preserve">Людина формулює, агент оформлює</t>
  </si>
  <si>
    <t xml:space="preserve">Автоматизовані тести за вимогою (пишуться до коду)</t>
  </si>
  <si>
    <t xml:space="preserve">Реалізація функціональності за тестами</t>
  </si>
  <si>
    <t xml:space="preserve">Перевірка відповідності реалізації вимозі</t>
  </si>
  <si>
    <t xml:space="preserve">Перевірка відповідності задуму на реальних даних</t>
  </si>
  <si>
    <t xml:space="preserve">Людина (не делегується)</t>
  </si>
  <si>
    <t xml:space="preserve">README, матриця простежуваності, звіти</t>
  </si>
  <si>
    <t xml:space="preserve">Дозвіл або заборона переходу до наступного етапу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</si>
</sst>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4F6F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4DFEC"/>
        <bgColor rgb="FFDDEBF7"/>
      </patternFill>
    </fill>
    <fill>
      <patternFill patternType="solid">
        <fgColor rgb="FFD9D2E9"/>
        <bgColor rgb="FFE4DFEC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4F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4DFE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2" t="s">
        <v>13</v>
      </c>
      <c r="G2" s="4" t="s">
        <v>14</v>
      </c>
      <c r="H2" s="5" t="n">
        <v>0</v>
      </c>
    </row>
    <row r="3" customFormat="false" ht="15" hidden="false" customHeight="false" outlineLevel="0" collapsed="false">
      <c r="A3" s="6" t="s">
        <v>8</v>
      </c>
      <c r="B3" s="6" t="s">
        <v>15</v>
      </c>
      <c r="C3" s="7" t="s">
        <v>16</v>
      </c>
      <c r="D3" s="8" t="s">
        <v>17</v>
      </c>
      <c r="E3" s="8" t="s">
        <v>14</v>
      </c>
      <c r="F3" s="6" t="s">
        <v>18</v>
      </c>
      <c r="G3" s="8" t="s">
        <v>9</v>
      </c>
      <c r="H3" s="9" t="n">
        <v>0.5</v>
      </c>
    </row>
    <row r="4" customFormat="false" ht="15" hidden="false" customHeight="false" outlineLevel="0" collapsed="false">
      <c r="A4" s="2" t="s">
        <v>8</v>
      </c>
      <c r="B4" s="2" t="s">
        <v>19</v>
      </c>
      <c r="C4" s="10" t="s">
        <v>20</v>
      </c>
      <c r="D4" s="4" t="s">
        <v>21</v>
      </c>
      <c r="E4" s="4" t="s">
        <v>22</v>
      </c>
      <c r="F4" s="2" t="s">
        <v>23</v>
      </c>
      <c r="G4" s="4" t="s">
        <v>15</v>
      </c>
      <c r="H4" s="5" t="n">
        <v>1</v>
      </c>
    </row>
    <row r="5" customFormat="false" ht="15" hidden="false" customHeight="false" outlineLevel="0" collapsed="false">
      <c r="A5" s="2" t="s">
        <v>8</v>
      </c>
      <c r="B5" s="2" t="s">
        <v>24</v>
      </c>
      <c r="C5" s="10" t="s">
        <v>20</v>
      </c>
      <c r="D5" s="4" t="s">
        <v>25</v>
      </c>
      <c r="E5" s="4" t="s">
        <v>26</v>
      </c>
      <c r="F5" s="2" t="s">
        <v>23</v>
      </c>
      <c r="G5" s="4" t="s">
        <v>19</v>
      </c>
      <c r="H5" s="5" t="n">
        <v>1</v>
      </c>
    </row>
    <row r="6" customFormat="false" ht="15" hidden="false" customHeight="false" outlineLevel="0" collapsed="false">
      <c r="A6" s="2" t="s">
        <v>27</v>
      </c>
      <c r="B6" s="2" t="s">
        <v>28</v>
      </c>
      <c r="C6" s="11" t="s">
        <v>29</v>
      </c>
      <c r="D6" s="4" t="s">
        <v>30</v>
      </c>
      <c r="E6" s="4" t="s">
        <v>31</v>
      </c>
      <c r="F6" s="2" t="s">
        <v>23</v>
      </c>
      <c r="G6" s="4" t="s">
        <v>24</v>
      </c>
      <c r="H6" s="5" t="n">
        <v>1</v>
      </c>
    </row>
    <row r="7" customFormat="false" ht="15" hidden="false" customHeight="false" outlineLevel="0" collapsed="false">
      <c r="A7" s="2" t="s">
        <v>27</v>
      </c>
      <c r="B7" s="2" t="s">
        <v>32</v>
      </c>
      <c r="C7" s="10" t="s">
        <v>20</v>
      </c>
      <c r="D7" s="4" t="s">
        <v>33</v>
      </c>
      <c r="E7" s="4" t="s">
        <v>31</v>
      </c>
      <c r="F7" s="2" t="s">
        <v>23</v>
      </c>
      <c r="G7" s="4" t="s">
        <v>28</v>
      </c>
      <c r="H7" s="5" t="n">
        <v>1.5</v>
      </c>
    </row>
    <row r="8" customFormat="false" ht="15" hidden="false" customHeight="false" outlineLevel="0" collapsed="false">
      <c r="A8" s="2" t="s">
        <v>27</v>
      </c>
      <c r="B8" s="2" t="s">
        <v>34</v>
      </c>
      <c r="C8" s="11" t="s">
        <v>29</v>
      </c>
      <c r="D8" s="4" t="s">
        <v>35</v>
      </c>
      <c r="E8" s="4" t="s">
        <v>36</v>
      </c>
      <c r="F8" s="2" t="s">
        <v>23</v>
      </c>
      <c r="G8" s="4" t="s">
        <v>24</v>
      </c>
      <c r="H8" s="5" t="n">
        <v>1</v>
      </c>
    </row>
    <row r="9" customFormat="false" ht="15" hidden="false" customHeight="false" outlineLevel="0" collapsed="false">
      <c r="A9" s="2" t="s">
        <v>27</v>
      </c>
      <c r="B9" s="2" t="s">
        <v>37</v>
      </c>
      <c r="C9" s="10" t="s">
        <v>20</v>
      </c>
      <c r="D9" s="4" t="s">
        <v>38</v>
      </c>
      <c r="E9" s="4" t="s">
        <v>36</v>
      </c>
      <c r="F9" s="2" t="s">
        <v>23</v>
      </c>
      <c r="G9" s="4" t="s">
        <v>39</v>
      </c>
      <c r="H9" s="5" t="n">
        <v>1.5</v>
      </c>
    </row>
    <row r="10" customFormat="false" ht="15" hidden="false" customHeight="false" outlineLevel="0" collapsed="false">
      <c r="A10" s="2" t="s">
        <v>27</v>
      </c>
      <c r="B10" s="2" t="s">
        <v>40</v>
      </c>
      <c r="C10" s="11" t="s">
        <v>29</v>
      </c>
      <c r="D10" s="4" t="s">
        <v>41</v>
      </c>
      <c r="E10" s="4" t="s">
        <v>42</v>
      </c>
      <c r="F10" s="2" t="s">
        <v>23</v>
      </c>
      <c r="G10" s="4" t="s">
        <v>24</v>
      </c>
      <c r="H10" s="5" t="n">
        <v>1.5</v>
      </c>
    </row>
    <row r="11" customFormat="false" ht="15" hidden="false" customHeight="false" outlineLevel="0" collapsed="false">
      <c r="A11" s="2" t="s">
        <v>27</v>
      </c>
      <c r="B11" s="2" t="s">
        <v>43</v>
      </c>
      <c r="C11" s="10" t="s">
        <v>20</v>
      </c>
      <c r="D11" s="4" t="s">
        <v>44</v>
      </c>
      <c r="E11" s="4" t="s">
        <v>42</v>
      </c>
      <c r="F11" s="2" t="s">
        <v>23</v>
      </c>
      <c r="G11" s="4" t="s">
        <v>45</v>
      </c>
      <c r="H11" s="5" t="n">
        <v>2</v>
      </c>
    </row>
    <row r="12" customFormat="false" ht="15" hidden="false" customHeight="false" outlineLevel="0" collapsed="false">
      <c r="A12" s="2" t="s">
        <v>27</v>
      </c>
      <c r="B12" s="2" t="s">
        <v>46</v>
      </c>
      <c r="C12" s="11" t="s">
        <v>29</v>
      </c>
      <c r="D12" s="4" t="s">
        <v>47</v>
      </c>
      <c r="E12" s="4" t="s">
        <v>48</v>
      </c>
      <c r="F12" s="2" t="s">
        <v>23</v>
      </c>
      <c r="G12" s="4" t="s">
        <v>24</v>
      </c>
      <c r="H12" s="5" t="n">
        <v>1</v>
      </c>
    </row>
    <row r="13" customFormat="false" ht="15" hidden="false" customHeight="false" outlineLevel="0" collapsed="false">
      <c r="A13" s="2" t="s">
        <v>27</v>
      </c>
      <c r="B13" s="2" t="s">
        <v>49</v>
      </c>
      <c r="C13" s="10" t="s">
        <v>20</v>
      </c>
      <c r="D13" s="4" t="s">
        <v>50</v>
      </c>
      <c r="E13" s="4" t="s">
        <v>48</v>
      </c>
      <c r="F13" s="2" t="s">
        <v>23</v>
      </c>
      <c r="G13" s="4" t="s">
        <v>51</v>
      </c>
      <c r="H13" s="5" t="n">
        <v>1</v>
      </c>
    </row>
    <row r="14" customFormat="false" ht="15" hidden="false" customHeight="false" outlineLevel="0" collapsed="false">
      <c r="A14" s="2" t="s">
        <v>27</v>
      </c>
      <c r="B14" s="2" t="s">
        <v>52</v>
      </c>
      <c r="C14" s="12" t="s">
        <v>53</v>
      </c>
      <c r="D14" s="4" t="s">
        <v>54</v>
      </c>
      <c r="E14" s="4" t="s">
        <v>55</v>
      </c>
      <c r="F14" s="2" t="s">
        <v>56</v>
      </c>
      <c r="G14" s="4" t="s">
        <v>43</v>
      </c>
      <c r="H14" s="5" t="n">
        <v>0.5</v>
      </c>
    </row>
    <row r="15" customFormat="false" ht="15" hidden="false" customHeight="false" outlineLevel="0" collapsed="false">
      <c r="A15" s="6" t="s">
        <v>27</v>
      </c>
      <c r="B15" s="6" t="s">
        <v>57</v>
      </c>
      <c r="C15" s="7" t="s">
        <v>16</v>
      </c>
      <c r="D15" s="8" t="s">
        <v>58</v>
      </c>
      <c r="E15" s="8" t="s">
        <v>59</v>
      </c>
      <c r="F15" s="6" t="s">
        <v>18</v>
      </c>
      <c r="G15" s="8" t="s">
        <v>60</v>
      </c>
      <c r="H15" s="9" t="n">
        <v>0.5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11" t="s">
        <v>29</v>
      </c>
      <c r="D16" s="4" t="s">
        <v>63</v>
      </c>
      <c r="E16" s="4" t="s">
        <v>64</v>
      </c>
      <c r="F16" s="2" t="s">
        <v>23</v>
      </c>
      <c r="G16" s="4" t="s">
        <v>57</v>
      </c>
      <c r="H16" s="5" t="n">
        <v>1.5</v>
      </c>
    </row>
    <row r="17" customFormat="false" ht="15" hidden="false" customHeight="false" outlineLevel="0" collapsed="false">
      <c r="A17" s="2" t="s">
        <v>61</v>
      </c>
      <c r="B17" s="2" t="s">
        <v>65</v>
      </c>
      <c r="C17" s="10" t="s">
        <v>20</v>
      </c>
      <c r="D17" s="4" t="s">
        <v>66</v>
      </c>
      <c r="E17" s="4" t="s">
        <v>64</v>
      </c>
      <c r="F17" s="2" t="s">
        <v>23</v>
      </c>
      <c r="G17" s="4" t="s">
        <v>62</v>
      </c>
      <c r="H17" s="5" t="n">
        <v>2</v>
      </c>
    </row>
    <row r="18" customFormat="false" ht="15" hidden="false" customHeight="false" outlineLevel="0" collapsed="false">
      <c r="A18" s="2" t="s">
        <v>61</v>
      </c>
      <c r="B18" s="2" t="s">
        <v>67</v>
      </c>
      <c r="C18" s="11" t="s">
        <v>29</v>
      </c>
      <c r="D18" s="4" t="s">
        <v>68</v>
      </c>
      <c r="E18" s="4" t="s">
        <v>69</v>
      </c>
      <c r="F18" s="2" t="s">
        <v>23</v>
      </c>
      <c r="G18" s="4" t="s">
        <v>57</v>
      </c>
      <c r="H18" s="5" t="n">
        <v>0.5</v>
      </c>
    </row>
    <row r="19" customFormat="false" ht="15" hidden="false" customHeight="false" outlineLevel="0" collapsed="false">
      <c r="A19" s="2" t="s">
        <v>61</v>
      </c>
      <c r="B19" s="2" t="s">
        <v>70</v>
      </c>
      <c r="C19" s="10" t="s">
        <v>20</v>
      </c>
      <c r="D19" s="4" t="s">
        <v>71</v>
      </c>
      <c r="E19" s="4" t="s">
        <v>69</v>
      </c>
      <c r="F19" s="2" t="s">
        <v>23</v>
      </c>
      <c r="G19" s="4" t="s">
        <v>72</v>
      </c>
      <c r="H19" s="5" t="n">
        <v>1</v>
      </c>
    </row>
    <row r="20" customFormat="false" ht="23.85" hidden="false" customHeight="false" outlineLevel="0" collapsed="false">
      <c r="A20" s="2" t="s">
        <v>61</v>
      </c>
      <c r="B20" s="2" t="s">
        <v>73</v>
      </c>
      <c r="C20" s="10" t="s">
        <v>20</v>
      </c>
      <c r="D20" s="4" t="s">
        <v>74</v>
      </c>
      <c r="E20" s="4" t="s">
        <v>75</v>
      </c>
      <c r="F20" s="2" t="s">
        <v>23</v>
      </c>
      <c r="G20" s="4" t="s">
        <v>65</v>
      </c>
      <c r="H20" s="5" t="n">
        <v>1.5</v>
      </c>
    </row>
    <row r="21" customFormat="false" ht="15" hidden="false" customHeight="false" outlineLevel="0" collapsed="false">
      <c r="A21" s="2" t="s">
        <v>61</v>
      </c>
      <c r="B21" s="2" t="s">
        <v>76</v>
      </c>
      <c r="C21" s="12" t="s">
        <v>53</v>
      </c>
      <c r="D21" s="4" t="s">
        <v>77</v>
      </c>
      <c r="E21" s="4" t="s">
        <v>78</v>
      </c>
      <c r="F21" s="2" t="s">
        <v>56</v>
      </c>
      <c r="G21" s="4" t="s">
        <v>65</v>
      </c>
      <c r="H21" s="5" t="n">
        <v>0.5</v>
      </c>
    </row>
    <row r="22" customFormat="false" ht="15" hidden="false" customHeight="false" outlineLevel="0" collapsed="false">
      <c r="A22" s="2" t="s">
        <v>61</v>
      </c>
      <c r="B22" s="2" t="s">
        <v>79</v>
      </c>
      <c r="C22" s="12" t="s">
        <v>53</v>
      </c>
      <c r="D22" s="4" t="s">
        <v>80</v>
      </c>
      <c r="E22" s="4" t="s">
        <v>81</v>
      </c>
      <c r="F22" s="2" t="s">
        <v>56</v>
      </c>
      <c r="G22" s="4" t="s">
        <v>65</v>
      </c>
      <c r="H22" s="5" t="n">
        <v>0.5</v>
      </c>
    </row>
    <row r="23" customFormat="false" ht="15" hidden="false" customHeight="false" outlineLevel="0" collapsed="false">
      <c r="A23" s="6" t="s">
        <v>61</v>
      </c>
      <c r="B23" s="6" t="s">
        <v>82</v>
      </c>
      <c r="C23" s="7" t="s">
        <v>16</v>
      </c>
      <c r="D23" s="8" t="s">
        <v>83</v>
      </c>
      <c r="E23" s="8" t="s">
        <v>84</v>
      </c>
      <c r="F23" s="6" t="s">
        <v>18</v>
      </c>
      <c r="G23" s="8" t="s">
        <v>85</v>
      </c>
      <c r="H23" s="9" t="n">
        <v>0.5</v>
      </c>
    </row>
    <row r="24" customFormat="false" ht="15" hidden="false" customHeight="false" outlineLevel="0" collapsed="false">
      <c r="A24" s="2" t="s">
        <v>86</v>
      </c>
      <c r="B24" s="2" t="s">
        <v>87</v>
      </c>
      <c r="C24" s="11" t="s">
        <v>29</v>
      </c>
      <c r="D24" s="4" t="s">
        <v>88</v>
      </c>
      <c r="E24" s="4" t="s">
        <v>89</v>
      </c>
      <c r="F24" s="2" t="s">
        <v>23</v>
      </c>
      <c r="G24" s="4" t="s">
        <v>82</v>
      </c>
      <c r="H24" s="5" t="n">
        <v>0.5</v>
      </c>
    </row>
    <row r="25" customFormat="false" ht="15" hidden="false" customHeight="false" outlineLevel="0" collapsed="false">
      <c r="A25" s="2" t="s">
        <v>86</v>
      </c>
      <c r="B25" s="2" t="s">
        <v>90</v>
      </c>
      <c r="C25" s="10" t="s">
        <v>20</v>
      </c>
      <c r="D25" s="4" t="s">
        <v>91</v>
      </c>
      <c r="E25" s="4" t="s">
        <v>92</v>
      </c>
      <c r="F25" s="2" t="s">
        <v>23</v>
      </c>
      <c r="G25" s="4" t="s">
        <v>87</v>
      </c>
      <c r="H25" s="5" t="n">
        <v>1</v>
      </c>
    </row>
    <row r="26" customFormat="false" ht="15" hidden="false" customHeight="false" outlineLevel="0" collapsed="false">
      <c r="A26" s="2" t="s">
        <v>86</v>
      </c>
      <c r="B26" s="2" t="s">
        <v>93</v>
      </c>
      <c r="C26" s="10" t="s">
        <v>20</v>
      </c>
      <c r="D26" s="4" t="s">
        <v>94</v>
      </c>
      <c r="E26" s="4" t="s">
        <v>95</v>
      </c>
      <c r="F26" s="2" t="s">
        <v>23</v>
      </c>
      <c r="G26" s="4" t="s">
        <v>82</v>
      </c>
      <c r="H26" s="5" t="n">
        <v>2</v>
      </c>
    </row>
    <row r="27" customFormat="false" ht="15" hidden="false" customHeight="false" outlineLevel="0" collapsed="false">
      <c r="A27" s="2" t="s">
        <v>86</v>
      </c>
      <c r="B27" s="2" t="s">
        <v>96</v>
      </c>
      <c r="C27" s="10" t="s">
        <v>20</v>
      </c>
      <c r="D27" s="4" t="s">
        <v>97</v>
      </c>
      <c r="E27" s="4" t="s">
        <v>98</v>
      </c>
      <c r="F27" s="2" t="s">
        <v>23</v>
      </c>
      <c r="G27" s="4" t="s">
        <v>93</v>
      </c>
      <c r="H27" s="5" t="n">
        <v>1</v>
      </c>
    </row>
    <row r="28" customFormat="false" ht="15" hidden="false" customHeight="false" outlineLevel="0" collapsed="false">
      <c r="A28" s="2" t="s">
        <v>86</v>
      </c>
      <c r="B28" s="2" t="s">
        <v>99</v>
      </c>
      <c r="C28" s="12" t="s">
        <v>53</v>
      </c>
      <c r="D28" s="4" t="s">
        <v>100</v>
      </c>
      <c r="E28" s="4" t="s">
        <v>101</v>
      </c>
      <c r="F28" s="2" t="s">
        <v>56</v>
      </c>
      <c r="G28" s="4" t="s">
        <v>102</v>
      </c>
      <c r="H28" s="5" t="n">
        <v>0.5</v>
      </c>
    </row>
    <row r="29" customFormat="false" ht="15" hidden="false" customHeight="false" outlineLevel="0" collapsed="false">
      <c r="A29" s="2" t="s">
        <v>86</v>
      </c>
      <c r="B29" s="2" t="s">
        <v>103</v>
      </c>
      <c r="C29" s="13" t="s">
        <v>104</v>
      </c>
      <c r="D29" s="4" t="s">
        <v>105</v>
      </c>
      <c r="E29" s="4" t="s">
        <v>106</v>
      </c>
      <c r="F29" s="2" t="s">
        <v>18</v>
      </c>
      <c r="G29" s="4" t="s">
        <v>107</v>
      </c>
      <c r="H29" s="5" t="n">
        <v>1</v>
      </c>
    </row>
    <row r="30" customFormat="false" ht="15" hidden="false" customHeight="false" outlineLevel="0" collapsed="false">
      <c r="A30" s="2" t="s">
        <v>86</v>
      </c>
      <c r="B30" s="2" t="s">
        <v>108</v>
      </c>
      <c r="C30" s="14" t="s">
        <v>109</v>
      </c>
      <c r="D30" s="4" t="s">
        <v>110</v>
      </c>
      <c r="E30" s="4" t="s">
        <v>111</v>
      </c>
      <c r="F30" s="2" t="s">
        <v>112</v>
      </c>
      <c r="G30" s="4" t="s">
        <v>103</v>
      </c>
      <c r="H30" s="5" t="n">
        <v>0.5</v>
      </c>
    </row>
    <row r="31" customFormat="false" ht="15" hidden="false" customHeight="false" outlineLevel="0" collapsed="false">
      <c r="A31" s="2" t="s">
        <v>86</v>
      </c>
      <c r="B31" s="2" t="s">
        <v>113</v>
      </c>
      <c r="C31" s="15" t="s">
        <v>114</v>
      </c>
      <c r="D31" s="4" t="s">
        <v>115</v>
      </c>
      <c r="E31" s="4" t="s">
        <v>116</v>
      </c>
      <c r="F31" s="2" t="s">
        <v>18</v>
      </c>
      <c r="G31" s="4" t="s">
        <v>15</v>
      </c>
      <c r="H31" s="5" t="n">
        <v>0.5</v>
      </c>
    </row>
    <row r="32" customFormat="false" ht="15" hidden="false" customHeight="false" outlineLevel="0" collapsed="false">
      <c r="A32" s="6" t="s">
        <v>86</v>
      </c>
      <c r="B32" s="6" t="s">
        <v>117</v>
      </c>
      <c r="C32" s="7" t="s">
        <v>16</v>
      </c>
      <c r="D32" s="8" t="s">
        <v>118</v>
      </c>
      <c r="E32" s="8" t="s">
        <v>12</v>
      </c>
      <c r="F32" s="6" t="s">
        <v>18</v>
      </c>
      <c r="G32" s="8" t="s">
        <v>108</v>
      </c>
      <c r="H32" s="9" t="n">
        <v>0.5</v>
      </c>
    </row>
    <row r="33" customFormat="false" ht="15" hidden="false" customHeight="false" outlineLevel="0" collapsed="false">
      <c r="C33" s="16" t="s">
        <v>119</v>
      </c>
      <c r="H33" s="16" t="n">
        <f aca="false">SUM(H2:H32)</f>
        <v>29.5</v>
      </c>
    </row>
    <row r="34" customFormat="false" ht="15" hidden="false" customHeight="false" outlineLevel="0" collapsed="false">
      <c r="C34" s="17" t="s">
        <v>120</v>
      </c>
      <c r="H34" s="18" t="n">
        <f aca="false">SUMIF(F2:F32,"Агент",H2:H32)</f>
        <v>23.5</v>
      </c>
    </row>
    <row r="35" customFormat="false" ht="15" hidden="false" customHeight="false" outlineLevel="0" collapsed="false">
      <c r="C35" s="17" t="s">
        <v>121</v>
      </c>
      <c r="H35" s="18" t="n">
        <f aca="false">SUM(H33:H33)-H34</f>
        <v>6</v>
      </c>
    </row>
  </sheetData>
  <autoFilter ref="A1:H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122</v>
      </c>
      <c r="B1" s="1" t="s">
        <v>123</v>
      </c>
      <c r="C1" s="1" t="s">
        <v>124</v>
      </c>
      <c r="D1" s="1" t="s">
        <v>125</v>
      </c>
    </row>
    <row r="2" customFormat="false" ht="15" hidden="false" customHeight="false" outlineLevel="0" collapsed="false">
      <c r="A2" s="4" t="s">
        <v>10</v>
      </c>
      <c r="B2" s="4" t="s">
        <v>126</v>
      </c>
      <c r="C2" s="4" t="s">
        <v>127</v>
      </c>
      <c r="D2" s="4" t="s">
        <v>18</v>
      </c>
    </row>
    <row r="3" customFormat="false" ht="23.85" hidden="false" customHeight="false" outlineLevel="0" collapsed="false">
      <c r="A3" s="4" t="s">
        <v>114</v>
      </c>
      <c r="B3" s="4" t="s">
        <v>128</v>
      </c>
      <c r="C3" s="4" t="s">
        <v>129</v>
      </c>
      <c r="D3" s="4" t="s">
        <v>18</v>
      </c>
    </row>
    <row r="4" customFormat="false" ht="15" hidden="false" customHeight="false" outlineLevel="0" collapsed="false">
      <c r="A4" s="4" t="s">
        <v>29</v>
      </c>
      <c r="B4" s="4" t="s">
        <v>130</v>
      </c>
      <c r="C4" s="4" t="s">
        <v>23</v>
      </c>
      <c r="D4" s="4" t="s">
        <v>18</v>
      </c>
    </row>
    <row r="5" customFormat="false" ht="15" hidden="false" customHeight="false" outlineLevel="0" collapsed="false">
      <c r="A5" s="4" t="s">
        <v>20</v>
      </c>
      <c r="B5" s="4" t="s">
        <v>131</v>
      </c>
      <c r="C5" s="4" t="s">
        <v>23</v>
      </c>
      <c r="D5" s="4" t="s">
        <v>18</v>
      </c>
    </row>
    <row r="6" customFormat="false" ht="15" hidden="false" customHeight="false" outlineLevel="0" collapsed="false">
      <c r="A6" s="4" t="s">
        <v>53</v>
      </c>
      <c r="B6" s="4" t="s">
        <v>132</v>
      </c>
      <c r="C6" s="4" t="s">
        <v>56</v>
      </c>
      <c r="D6" s="4" t="s">
        <v>18</v>
      </c>
    </row>
    <row r="7" customFormat="false" ht="15" hidden="false" customHeight="false" outlineLevel="0" collapsed="false">
      <c r="A7" s="4" t="s">
        <v>104</v>
      </c>
      <c r="B7" s="4" t="s">
        <v>133</v>
      </c>
      <c r="C7" s="4" t="s">
        <v>134</v>
      </c>
      <c r="D7" s="4" t="s">
        <v>18</v>
      </c>
    </row>
    <row r="8" customFormat="false" ht="15" hidden="false" customHeight="false" outlineLevel="0" collapsed="false">
      <c r="A8" s="4" t="s">
        <v>109</v>
      </c>
      <c r="B8" s="4" t="s">
        <v>135</v>
      </c>
      <c r="C8" s="4" t="s">
        <v>112</v>
      </c>
      <c r="D8" s="4" t="s">
        <v>18</v>
      </c>
    </row>
    <row r="9" customFormat="false" ht="15" hidden="false" customHeight="false" outlineLevel="0" collapsed="false">
      <c r="A9" s="4" t="s">
        <v>16</v>
      </c>
      <c r="B9" s="4" t="s">
        <v>136</v>
      </c>
      <c r="C9" s="4" t="s">
        <v>134</v>
      </c>
      <c r="D9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2026-10-05T14:38:53Z</dcterms:created>
  <dc:creator>openpyxl</dc:creator>
  <dc:description/>
  <dc:language>en-US</dc:language>
  <cp:lastModifiedBy/>
  <dcterms:modified xsi:type="dcterms:W3CDTF">2026-10-05T14:38:53Z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